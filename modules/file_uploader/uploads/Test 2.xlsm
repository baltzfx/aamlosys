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5\aamlo\HRD\My files\Desktop\HRD\For Payroll\Payroll Processed 2025\Payslip\"/>
    </mc:Choice>
  </mc:AlternateContent>
  <bookViews>
    <workbookView xWindow="0" yWindow="0" windowWidth="25125" windowHeight="12300"/>
  </bookViews>
  <sheets>
    <sheet name="Payroll Summary" sheetId="6" r:id="rId1"/>
    <sheet name="Payslip" sheetId="20" r:id="rId2"/>
  </sheets>
  <definedNames>
    <definedName name="_xlnm._FilterDatabase" localSheetId="0" hidden="1">'Payroll Summary'!$A$6:$AK$10</definedName>
  </definedNames>
  <calcPr calcId="162913"/>
</workbook>
</file>

<file path=xl/calcChain.xml><?xml version="1.0" encoding="utf-8"?>
<calcChain xmlns="http://schemas.openxmlformats.org/spreadsheetml/2006/main">
  <c r="F21" i="20" l="1"/>
  <c r="F20" i="20"/>
  <c r="F19" i="20"/>
  <c r="F18" i="20"/>
  <c r="F17" i="20"/>
  <c r="F16" i="20"/>
  <c r="F15" i="20"/>
  <c r="F14" i="20"/>
  <c r="F13" i="20"/>
  <c r="F12" i="20"/>
  <c r="F11" i="20"/>
  <c r="F10" i="20"/>
  <c r="F9" i="20"/>
  <c r="F6" i="20"/>
  <c r="F5" i="20"/>
  <c r="C26" i="20"/>
  <c r="C25" i="20"/>
  <c r="C24" i="20"/>
  <c r="C23" i="20"/>
  <c r="C22" i="20"/>
  <c r="C21" i="20"/>
  <c r="C20" i="20"/>
  <c r="C19" i="20"/>
  <c r="C18" i="20"/>
  <c r="C16" i="20"/>
  <c r="C15" i="20"/>
  <c r="C14" i="20"/>
  <c r="C13" i="20"/>
  <c r="C12" i="20"/>
  <c r="C11" i="20"/>
  <c r="C10" i="20"/>
  <c r="C9" i="20"/>
  <c r="C6" i="20"/>
  <c r="F5" i="6" l="1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E5" i="6"/>
  <c r="AI8" i="6"/>
  <c r="AJ8" i="6"/>
  <c r="AI9" i="6"/>
  <c r="AJ9" i="6"/>
  <c r="AI10" i="6"/>
  <c r="AJ10" i="6"/>
  <c r="AJ7" i="6"/>
  <c r="AI7" i="6"/>
  <c r="AK10" i="6" l="1"/>
  <c r="C27" i="20"/>
  <c r="AI5" i="6"/>
  <c r="F27" i="20"/>
  <c r="AJ5" i="6"/>
  <c r="AK7" i="6"/>
  <c r="AK9" i="6"/>
  <c r="AK8" i="6"/>
  <c r="C29" i="20" l="1"/>
  <c r="AK5" i="6"/>
</calcChain>
</file>

<file path=xl/sharedStrings.xml><?xml version="1.0" encoding="utf-8"?>
<sst xmlns="http://schemas.openxmlformats.org/spreadsheetml/2006/main" count="101" uniqueCount="95">
  <si>
    <t>Total Deductions</t>
  </si>
  <si>
    <t>ALEXIS A. MOLAER LAW OFFICES</t>
  </si>
  <si>
    <t>Employee</t>
  </si>
  <si>
    <t>Branch</t>
  </si>
  <si>
    <t xml:space="preserve">MAI         </t>
  </si>
  <si>
    <t>Class Level #3</t>
  </si>
  <si>
    <t xml:space="preserve">ILO         </t>
  </si>
  <si>
    <t xml:space="preserve">RSUBS   </t>
  </si>
  <si>
    <t xml:space="preserve">ClothA  </t>
  </si>
  <si>
    <t xml:space="preserve">Gas     </t>
  </si>
  <si>
    <t xml:space="preserve">CommAll </t>
  </si>
  <si>
    <t xml:space="preserve">InNTax  </t>
  </si>
  <si>
    <t xml:space="preserve">ReloAll </t>
  </si>
  <si>
    <t xml:space="preserve">PosAll  </t>
  </si>
  <si>
    <t xml:space="preserve">Transpo </t>
  </si>
  <si>
    <t xml:space="preserve">SSSPrm  </t>
  </si>
  <si>
    <t xml:space="preserve">SSSSL   </t>
  </si>
  <si>
    <t xml:space="preserve">WTax    </t>
  </si>
  <si>
    <t xml:space="preserve">HMDFSAL </t>
  </si>
  <si>
    <t xml:space="preserve">HMO     </t>
  </si>
  <si>
    <t xml:space="preserve">HDMFCAL </t>
  </si>
  <si>
    <t xml:space="preserve">MPL3    </t>
  </si>
  <si>
    <t xml:space="preserve">SSSCL   </t>
  </si>
  <si>
    <t>Total Earnings</t>
  </si>
  <si>
    <t>Netpay</t>
  </si>
  <si>
    <t>Philhealth</t>
  </si>
  <si>
    <t xml:space="preserve">FOU         </t>
  </si>
  <si>
    <t xml:space="preserve">UTIL        </t>
  </si>
  <si>
    <t xml:space="preserve">HRD         </t>
  </si>
  <si>
    <t xml:space="preserve">Reg     </t>
  </si>
  <si>
    <t>Comm1</t>
  </si>
  <si>
    <t>Position Allowance</t>
  </si>
  <si>
    <t>Undertime</t>
  </si>
  <si>
    <t>Tardy</t>
  </si>
  <si>
    <t>Communication Allowance</t>
  </si>
  <si>
    <t>FOU</t>
  </si>
  <si>
    <t>Meal Allowance</t>
  </si>
  <si>
    <t>Gasoline Allowance</t>
  </si>
  <si>
    <t>Pagibig</t>
  </si>
  <si>
    <t>Abs</t>
  </si>
  <si>
    <t>PAGIBIG</t>
  </si>
  <si>
    <t>DiffBas</t>
  </si>
  <si>
    <t>MeAlloW</t>
  </si>
  <si>
    <t>CANTEEN</t>
  </si>
  <si>
    <t>PL</t>
  </si>
  <si>
    <t>SSSL Ref</t>
  </si>
  <si>
    <t>Payroll October 15, 2025</t>
  </si>
  <si>
    <t>For the period:  September 26 to October 10, 2025</t>
  </si>
  <si>
    <t>ID NO.</t>
  </si>
  <si>
    <t>Branch:</t>
  </si>
  <si>
    <t>Name:</t>
  </si>
  <si>
    <t>SubClass:</t>
  </si>
  <si>
    <t>Earnings</t>
  </si>
  <si>
    <t>DEDUCTIONS:</t>
  </si>
  <si>
    <t>Regular Hours</t>
  </si>
  <si>
    <t>SSS Premium</t>
  </si>
  <si>
    <t>PhilHealth</t>
  </si>
  <si>
    <t>Canteen</t>
  </si>
  <si>
    <t>Absent</t>
  </si>
  <si>
    <t>Pag-IBIG Salary Loan</t>
  </si>
  <si>
    <t>Withholding Tax</t>
  </si>
  <si>
    <t>Rice Subsidy</t>
  </si>
  <si>
    <t>SSS Salary Loan</t>
  </si>
  <si>
    <t>Clothing Allowance</t>
  </si>
  <si>
    <t>SSS Calamity Loan</t>
  </si>
  <si>
    <t>Pag-IBIG Calamity Loan</t>
  </si>
  <si>
    <t>Restday/Special Holiday</t>
  </si>
  <si>
    <t>Pag-IBIG Loan Refund</t>
  </si>
  <si>
    <t>Commission 1</t>
  </si>
  <si>
    <t>HMO</t>
  </si>
  <si>
    <t>Regular overtime</t>
  </si>
  <si>
    <t>Transportation Allowance</t>
  </si>
  <si>
    <t>MPL3</t>
  </si>
  <si>
    <t>Relocation Allowance</t>
  </si>
  <si>
    <t>InNTax</t>
  </si>
  <si>
    <t>TOTAL GROSS</t>
  </si>
  <si>
    <t>TOTAL DEDUCTIONS</t>
  </si>
  <si>
    <t>NET PAY</t>
  </si>
  <si>
    <t>Employee ID No.:</t>
  </si>
  <si>
    <t>Covering Period: September 26, 2025 to October 10, 2025</t>
  </si>
  <si>
    <t>Payslip: October 15, 2025</t>
  </si>
  <si>
    <t>RegOT</t>
  </si>
  <si>
    <t>RD/SH OT</t>
  </si>
  <si>
    <t>Differential Basic</t>
  </si>
  <si>
    <t>Commission 3</t>
  </si>
  <si>
    <t>SSS Salary Loan Refund</t>
  </si>
  <si>
    <t>BALDO, ERWON</t>
  </si>
  <si>
    <t>JARGON, MAR</t>
  </si>
  <si>
    <t>LAO, LAO</t>
  </si>
  <si>
    <t>JAN, JAN</t>
  </si>
  <si>
    <t>Emaill</t>
  </si>
  <si>
    <t>gqbataan@aamlo.com</t>
  </si>
  <si>
    <t>baltdechavez@gmail.com</t>
  </si>
  <si>
    <t>girliebataan28@gmail.com</t>
  </si>
  <si>
    <t>baltdechavez@molaer.ph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</si>
</sst>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[$-409]mmmm\ d\,\ 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0000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name val="Arial Narrow"/>
      <family val="2"/>
    </font>
    <font>
      <sz val="11"/>
      <color theme="1"/>
      <name val="Arial Narrow"/>
      <family val="2"/>
    </font>
    <font>
      <sz val="10"/>
      <name val="Arial"/>
      <family val="2"/>
    </font>
    <font>
      <b/>
      <sz val="9"/>
      <color theme="1"/>
      <name val="Arial Narrow"/>
      <family val="2"/>
    </font>
    <font>
      <sz val="9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7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57">
    <xf numFmtId="0" fontId="0" fillId="0" borderId="0" xfId="0"/>
    <xf numFmtId="43" fontId="3" fillId="0" borderId="0" xfId="1" applyFont="1"/>
    <xf numFmtId="43" fontId="4" fillId="0" borderId="0" xfId="1" applyFont="1"/>
    <xf numFmtId="43" fontId="4" fillId="0" borderId="1" xfId="1" applyFont="1" applyFill="1" applyBorder="1" applyAlignment="1">
      <alignment horizontal="center" vertical="center" wrapText="1"/>
    </xf>
    <xf numFmtId="43" fontId="4" fillId="0" borderId="1" xfId="1" applyFont="1" applyFill="1" applyBorder="1" applyAlignment="1">
      <alignment horizontal="center" vertical="center"/>
    </xf>
    <xf numFmtId="43" fontId="3" fillId="0" borderId="1" xfId="1" applyFont="1" applyBorder="1"/>
    <xf numFmtId="43" fontId="4" fillId="0" borderId="1" xfId="1" applyFont="1" applyBorder="1"/>
    <xf numFmtId="43" fontId="3" fillId="0" borderId="2" xfId="1" applyFont="1" applyFill="1" applyBorder="1"/>
    <xf numFmtId="43" fontId="4" fillId="0" borderId="2" xfId="1" applyFont="1" applyFill="1" applyBorder="1" applyAlignment="1">
      <alignment horizontal="center" vertical="center" wrapText="1"/>
    </xf>
    <xf numFmtId="43" fontId="4" fillId="0" borderId="2" xfId="1" applyFont="1" applyBorder="1"/>
    <xf numFmtId="43" fontId="3" fillId="0" borderId="2" xfId="1" applyFont="1" applyFill="1" applyBorder="1" applyAlignment="1">
      <alignment horizontal="center" vertical="center" wrapText="1"/>
    </xf>
    <xf numFmtId="43" fontId="3" fillId="0" borderId="2" xfId="1" applyFont="1" applyFill="1" applyBorder="1" applyAlignment="1">
      <alignment horizontal="center" wrapText="1"/>
    </xf>
    <xf numFmtId="43" fontId="3" fillId="0" borderId="2" xfId="1" applyFont="1" applyBorder="1"/>
    <xf numFmtId="43" fontId="3" fillId="0" borderId="1" xfId="1" applyFont="1" applyFill="1" applyBorder="1"/>
    <xf numFmtId="43" fontId="3" fillId="0" borderId="1" xfId="1" applyFont="1" applyFill="1" applyBorder="1" applyAlignment="1">
      <alignment horizontal="center" wrapText="1"/>
    </xf>
    <xf numFmtId="0" fontId="6" fillId="0" borderId="0" xfId="0" applyFont="1"/>
    <xf numFmtId="43" fontId="2" fillId="0" borderId="0" xfId="1" applyFont="1"/>
    <xf numFmtId="43" fontId="4" fillId="0" borderId="0" xfId="1" applyFont="1" applyAlignment="1">
      <alignment horizontal="center"/>
    </xf>
    <xf numFmtId="43" fontId="4" fillId="0" borderId="0" xfId="1" applyFont="1" applyAlignment="1"/>
    <xf numFmtId="43" fontId="3" fillId="0" borderId="0" xfId="1" applyFont="1" applyBorder="1"/>
    <xf numFmtId="43" fontId="3" fillId="0" borderId="0" xfId="1" applyFont="1" applyFill="1" applyAlignment="1">
      <alignment vertical="center"/>
    </xf>
    <xf numFmtId="43" fontId="5" fillId="0" borderId="1" xfId="1" applyFont="1" applyBorder="1"/>
    <xf numFmtId="1" fontId="3" fillId="0" borderId="0" xfId="1" applyNumberFormat="1" applyFont="1"/>
    <xf numFmtId="1" fontId="4" fillId="0" borderId="0" xfId="1" applyNumberFormat="1" applyFont="1"/>
    <xf numFmtId="0" fontId="3" fillId="0" borderId="1" xfId="0" applyFont="1" applyFill="1" applyBorder="1"/>
    <xf numFmtId="1" fontId="3" fillId="0" borderId="0" xfId="1" applyNumberFormat="1" applyFont="1" applyAlignment="1">
      <alignment vertical="center" wrapText="1"/>
    </xf>
    <xf numFmtId="1" fontId="3" fillId="0" borderId="0" xfId="1" applyNumberFormat="1" applyFont="1" applyAlignment="1"/>
    <xf numFmtId="0" fontId="3" fillId="0" borderId="1" xfId="0" applyFont="1" applyBorder="1"/>
    <xf numFmtId="0" fontId="3" fillId="2" borderId="1" xfId="0" applyFont="1" applyFill="1" applyBorder="1" applyAlignment="1"/>
    <xf numFmtId="43" fontId="3" fillId="0" borderId="1" xfId="1" applyFont="1" applyBorder="1" applyAlignment="1">
      <alignment horizontal="center" vertical="center" wrapText="1"/>
    </xf>
    <xf numFmtId="43" fontId="4" fillId="2" borderId="1" xfId="1" applyFont="1" applyFill="1" applyBorder="1" applyAlignment="1">
      <alignment horizontal="center" vertical="center" wrapText="1"/>
    </xf>
    <xf numFmtId="43" fontId="4" fillId="2" borderId="1" xfId="1" applyFont="1" applyFill="1" applyBorder="1" applyAlignment="1">
      <alignment vertical="center" wrapText="1"/>
    </xf>
    <xf numFmtId="43" fontId="5" fillId="0" borderId="2" xfId="1" applyFont="1" applyBorder="1"/>
    <xf numFmtId="43" fontId="5" fillId="0" borderId="1" xfId="0" applyNumberFormat="1" applyFont="1" applyFill="1" applyBorder="1"/>
    <xf numFmtId="43" fontId="4" fillId="2" borderId="1" xfId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9" fillId="0" borderId="0" xfId="0" applyFont="1"/>
    <xf numFmtId="0" fontId="8" fillId="0" borderId="0" xfId="0" applyFont="1" applyAlignment="1">
      <alignment horizontal="center"/>
    </xf>
    <xf numFmtId="0" fontId="8" fillId="0" borderId="0" xfId="0" applyFont="1"/>
    <xf numFmtId="14" fontId="8" fillId="0" borderId="0" xfId="0" applyNumberFormat="1" applyFont="1"/>
    <xf numFmtId="14" fontId="9" fillId="0" borderId="0" xfId="0" applyNumberFormat="1" applyFont="1"/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>
      <alignment vertical="center"/>
    </xf>
    <xf numFmtId="0" fontId="3" fillId="0" borderId="0" xfId="1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43" fontId="8" fillId="0" borderId="0" xfId="1" applyFont="1"/>
    <xf numFmtId="43" fontId="9" fillId="0" borderId="0" xfId="1" applyFont="1"/>
    <xf numFmtId="0" fontId="6" fillId="0" borderId="3" xfId="0" applyFont="1" applyBorder="1"/>
    <xf numFmtId="14" fontId="6" fillId="0" borderId="3" xfId="0" applyNumberFormat="1" applyFont="1" applyBorder="1"/>
    <xf numFmtId="14" fontId="6" fillId="0" borderId="0" xfId="0" applyNumberFormat="1" applyFont="1"/>
    <xf numFmtId="43" fontId="6" fillId="0" borderId="3" xfId="1" applyFont="1" applyBorder="1"/>
    <xf numFmtId="43" fontId="9" fillId="0" borderId="0" xfId="0" applyNumberFormat="1" applyFont="1"/>
    <xf numFmtId="43" fontId="10" fillId="0" borderId="0" xfId="18" applyNumberFormat="1"/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19">
    <cellStyle name="Comma" xfId="1" builtinId="3"/>
    <cellStyle name="Comma 2" xfId="2"/>
    <cellStyle name="Comma 2 2" xfId="6"/>
    <cellStyle name="Comma 2 2 2" xfId="11"/>
    <cellStyle name="Comma 2 2 3" xfId="15"/>
    <cellStyle name="Comma 2 3" xfId="8"/>
    <cellStyle name="Comma 2 4" xfId="13"/>
    <cellStyle name="Comma 2 5" xfId="16"/>
    <cellStyle name="Comma 3" xfId="7"/>
    <cellStyle name="Comma 3 2" xfId="14"/>
    <cellStyle name="Comma 3 3" xfId="17"/>
    <cellStyle name="Comma 4" xfId="5"/>
    <cellStyle name="Comma 4 2" xfId="10"/>
    <cellStyle name="Comma 5" xfId="4"/>
    <cellStyle name="Comma 5 2" xfId="9"/>
    <cellStyle name="Comma 6" xfId="12"/>
    <cellStyle name="Hyperlink" xfId="18" builtinId="8"/>
    <cellStyle name="Normal" xfId="0" builtinId="0"/>
    <cellStyle name="Normal 10" xfId="3"/>
  </cellStyles>
  <dxfs count="1">
    <dxf>
      <fill>
        <patternFill patternType="solid">
          <fgColor rgb="FFFFFFFF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752476</xdr:colOff>
      <xdr:row>0</xdr:row>
      <xdr:rowOff>0</xdr:rowOff>
    </xdr:from>
    <xdr:to>
      <xdr:col>1</xdr:col>
      <xdr:colOff>1276351</xdr:colOff>
      <xdr:row>2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1" y="0"/>
          <a:ext cx="523875" cy="485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baltdechavez@gmail.com" TargetMode="External"/><Relationship Id="rId2" Type="http://schemas.openxmlformats.org/officeDocument/2006/relationships/hyperlink" Target="mailto:girliebataan28@gmail.com" TargetMode="External"/><Relationship Id="rId1" Type="http://schemas.openxmlformats.org/officeDocument/2006/relationships/hyperlink" Target="mailto:gqbataan@aamlo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baltdechavez@molaer.ph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"/>
  <sheetViews>
    <sheetView tabSelected="1" zoomScale="130" zoomScaleNormal="130" workbookViewId="0">
      <pane xSplit="3" ySplit="6" topLeftCell="AA7" activePane="bottomRight" state="frozen"/>
      <selection pane="topRight" activeCell="D1" sqref="D1"/>
      <selection pane="bottomLeft" activeCell="A7" sqref="A7"/>
      <selection pane="bottomRight" activeCell="AK13" sqref="AK13"/>
    </sheetView>
  </sheetViews>
  <sheetFormatPr defaultRowHeight="12" customHeight="1" x14ac:dyDescent="0.25"/>
  <cols>
    <col min="1" max="1" width="7.28515625" style="22" customWidth="1"/>
    <col min="2" max="2" width="27.85546875" style="1" customWidth="1"/>
    <col min="3" max="3" width="8.42578125" style="1" customWidth="1"/>
    <col min="4" max="4" width="7.42578125" style="1" customWidth="1"/>
    <col min="5" max="5" width="11.140625" style="1" bestFit="1" customWidth="1"/>
    <col min="6" max="6" width="9.5703125" style="1" customWidth="1"/>
    <col min="7" max="7" width="10.42578125" style="1" customWidth="1"/>
    <col min="8" max="8" width="16.28515625" style="1" customWidth="1"/>
    <col min="9" max="9" width="8" style="1" bestFit="1" customWidth="1"/>
    <col min="10" max="10" width="10.140625" style="1" bestFit="1" customWidth="1"/>
    <col min="11" max="11" width="8.42578125" style="1" customWidth="1"/>
    <col min="12" max="12" width="8.5703125" style="1" customWidth="1"/>
    <col min="13" max="13" width="10" style="1" customWidth="1"/>
    <col min="14" max="14" width="8.7109375" style="1" customWidth="1"/>
    <col min="15" max="15" width="8.42578125" style="1" customWidth="1"/>
    <col min="16" max="16" width="8.140625" style="1" customWidth="1"/>
    <col min="17" max="18" width="7.85546875" style="1" customWidth="1"/>
    <col min="19" max="19" width="8.140625" style="1" customWidth="1"/>
    <col min="20" max="20" width="7.85546875" style="1" customWidth="1"/>
    <col min="21" max="21" width="11" style="1" customWidth="1"/>
    <col min="22" max="22" width="12.5703125" style="1" customWidth="1"/>
    <col min="23" max="23" width="13" style="1" customWidth="1"/>
    <col min="24" max="24" width="11.42578125" style="1" customWidth="1"/>
    <col min="25" max="25" width="12" style="1" customWidth="1"/>
    <col min="26" max="26" width="11.5703125" style="1" customWidth="1"/>
    <col min="27" max="27" width="13.5703125" style="1" customWidth="1"/>
    <col min="28" max="28" width="11.7109375" style="1" customWidth="1"/>
    <col min="29" max="29" width="12.85546875" style="1" customWidth="1"/>
    <col min="30" max="30" width="8.140625" style="1" customWidth="1"/>
    <col min="31" max="31" width="13.7109375" style="1" customWidth="1"/>
    <col min="32" max="32" width="11.7109375" style="1" customWidth="1"/>
    <col min="33" max="34" width="12.140625" style="1" customWidth="1"/>
    <col min="35" max="35" width="10.42578125" style="1" customWidth="1"/>
    <col min="36" max="36" width="11.140625" style="1" customWidth="1"/>
    <col min="37" max="37" width="10.28515625" style="1" customWidth="1"/>
    <col min="38" max="38" width="16.42578125" style="1" customWidth="1"/>
    <col min="39" max="16384" width="9.140625" style="1"/>
  </cols>
  <sheetData>
    <row r="1" spans="1:38" ht="12" customHeight="1" x14ac:dyDescent="0.25">
      <c r="B1" s="16" t="s">
        <v>1</v>
      </c>
    </row>
    <row r="2" spans="1:38" ht="12" customHeight="1" x14ac:dyDescent="0.25">
      <c r="B2" s="2" t="s">
        <v>46</v>
      </c>
      <c r="E2" s="17"/>
    </row>
    <row r="3" spans="1:38" ht="12" customHeight="1" x14ac:dyDescent="0.25">
      <c r="B3" s="2" t="s">
        <v>47</v>
      </c>
      <c r="C3" s="2"/>
      <c r="D3" s="2"/>
      <c r="E3" s="18"/>
    </row>
    <row r="4" spans="1:38" ht="12" customHeight="1" x14ac:dyDescent="0.25">
      <c r="Y4" s="19"/>
    </row>
    <row r="5" spans="1:38" s="2" customFormat="1" ht="12" customHeight="1" x14ac:dyDescent="0.25">
      <c r="A5" s="23"/>
      <c r="E5" s="2">
        <f t="shared" ref="E5:AK5" si="0">SUM(E7:E10)</f>
        <v>64877.919999999998</v>
      </c>
      <c r="F5" s="2">
        <f t="shared" si="0"/>
        <v>-338.16624999999999</v>
      </c>
      <c r="G5" s="2">
        <f t="shared" si="0"/>
        <v>-391.58653846153845</v>
      </c>
      <c r="H5" s="2">
        <f t="shared" si="0"/>
        <v>-5687.8369230769231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1000</v>
      </c>
      <c r="N5" s="2">
        <f t="shared" si="0"/>
        <v>1250</v>
      </c>
      <c r="O5" s="2">
        <f t="shared" si="0"/>
        <v>250</v>
      </c>
      <c r="P5" s="2">
        <f t="shared" si="0"/>
        <v>0</v>
      </c>
      <c r="Q5" s="2">
        <f t="shared" si="0"/>
        <v>0</v>
      </c>
      <c r="R5" s="2">
        <f t="shared" si="0"/>
        <v>5000</v>
      </c>
      <c r="S5" s="2">
        <f t="shared" si="0"/>
        <v>0</v>
      </c>
      <c r="T5" s="2">
        <f t="shared" si="0"/>
        <v>0</v>
      </c>
      <c r="U5" s="2">
        <f t="shared" si="0"/>
        <v>1250</v>
      </c>
      <c r="V5" s="2">
        <f t="shared" si="0"/>
        <v>2162.5</v>
      </c>
      <c r="W5" s="2">
        <f t="shared" si="0"/>
        <v>1725</v>
      </c>
      <c r="X5" s="2">
        <f t="shared" si="0"/>
        <v>800</v>
      </c>
      <c r="Y5" s="2">
        <f t="shared" si="0"/>
        <v>510</v>
      </c>
      <c r="Z5" s="2">
        <f t="shared" si="0"/>
        <v>4301.5124999999998</v>
      </c>
      <c r="AA5" s="2">
        <f t="shared" si="0"/>
        <v>235</v>
      </c>
      <c r="AB5" s="2">
        <f t="shared" si="0"/>
        <v>0</v>
      </c>
      <c r="AC5" s="2">
        <f t="shared" si="0"/>
        <v>3875</v>
      </c>
      <c r="AD5" s="2">
        <f t="shared" si="0"/>
        <v>0</v>
      </c>
      <c r="AE5" s="2">
        <f t="shared" si="0"/>
        <v>196</v>
      </c>
      <c r="AF5" s="2">
        <f t="shared" si="0"/>
        <v>1666.67</v>
      </c>
      <c r="AG5" s="2">
        <f t="shared" si="0"/>
        <v>0</v>
      </c>
      <c r="AH5" s="2">
        <f t="shared" si="0"/>
        <v>0</v>
      </c>
      <c r="AI5" s="2">
        <f t="shared" si="0"/>
        <v>67210.33028846154</v>
      </c>
      <c r="AJ5" s="2">
        <f t="shared" si="0"/>
        <v>15471.682500000001</v>
      </c>
      <c r="AK5" s="2">
        <f t="shared" si="0"/>
        <v>51738.647788461531</v>
      </c>
    </row>
    <row r="6" spans="1:38" s="20" customFormat="1" ht="27" customHeight="1" x14ac:dyDescent="0.25">
      <c r="A6" s="25" t="s">
        <v>48</v>
      </c>
      <c r="B6" s="4" t="s">
        <v>2</v>
      </c>
      <c r="C6" s="4" t="s">
        <v>3</v>
      </c>
      <c r="D6" s="3" t="s">
        <v>5</v>
      </c>
      <c r="E6" s="34" t="s">
        <v>29</v>
      </c>
      <c r="F6" s="30" t="s">
        <v>33</v>
      </c>
      <c r="G6" s="30" t="s">
        <v>32</v>
      </c>
      <c r="H6" s="30" t="s">
        <v>39</v>
      </c>
      <c r="I6" s="31" t="s">
        <v>81</v>
      </c>
      <c r="J6" s="31" t="s">
        <v>82</v>
      </c>
      <c r="K6" s="35" t="s">
        <v>41</v>
      </c>
      <c r="L6" s="34" t="s">
        <v>30</v>
      </c>
      <c r="M6" s="34" t="s">
        <v>10</v>
      </c>
      <c r="N6" s="34" t="s">
        <v>7</v>
      </c>
      <c r="O6" s="34" t="s">
        <v>8</v>
      </c>
      <c r="P6" s="34" t="s">
        <v>11</v>
      </c>
      <c r="Q6" s="34" t="s">
        <v>12</v>
      </c>
      <c r="R6" s="34" t="s">
        <v>13</v>
      </c>
      <c r="S6" s="35" t="s">
        <v>42</v>
      </c>
      <c r="T6" s="34" t="s">
        <v>14</v>
      </c>
      <c r="U6" s="34" t="s">
        <v>9</v>
      </c>
      <c r="V6" s="34" t="s">
        <v>15</v>
      </c>
      <c r="W6" s="34" t="s">
        <v>25</v>
      </c>
      <c r="X6" s="34" t="s">
        <v>38</v>
      </c>
      <c r="Y6" s="34" t="s">
        <v>16</v>
      </c>
      <c r="Z6" s="34" t="s">
        <v>17</v>
      </c>
      <c r="AA6" s="34" t="s">
        <v>18</v>
      </c>
      <c r="AB6" s="34" t="s">
        <v>19</v>
      </c>
      <c r="AC6" s="34" t="s">
        <v>43</v>
      </c>
      <c r="AD6" s="34" t="s">
        <v>44</v>
      </c>
      <c r="AE6" s="34" t="s">
        <v>20</v>
      </c>
      <c r="AF6" s="34" t="s">
        <v>21</v>
      </c>
      <c r="AG6" s="34" t="s">
        <v>22</v>
      </c>
      <c r="AH6" s="34" t="s">
        <v>45</v>
      </c>
      <c r="AI6" s="3" t="s">
        <v>23</v>
      </c>
      <c r="AJ6" s="3" t="s">
        <v>0</v>
      </c>
      <c r="AK6" s="3" t="s">
        <v>24</v>
      </c>
      <c r="AL6" s="20" t="s">
        <v>90</v>
      </c>
    </row>
    <row r="7" spans="1:38" ht="12" customHeight="1" x14ac:dyDescent="0.25">
      <c r="A7" s="26">
        <v>2823</v>
      </c>
      <c r="B7" s="27" t="s">
        <v>86</v>
      </c>
      <c r="C7" s="28" t="s">
        <v>6</v>
      </c>
      <c r="D7" s="28" t="s">
        <v>26</v>
      </c>
      <c r="E7" s="5">
        <v>7750</v>
      </c>
      <c r="F7" s="6">
        <v>0</v>
      </c>
      <c r="G7" s="6">
        <v>-141.58653846153845</v>
      </c>
      <c r="H7" s="6">
        <v>-596.15384615384619</v>
      </c>
      <c r="I7" s="7">
        <v>0</v>
      </c>
      <c r="J7" s="7">
        <v>0</v>
      </c>
      <c r="K7" s="7"/>
      <c r="L7" s="8"/>
      <c r="M7" s="8"/>
      <c r="N7" s="9"/>
      <c r="O7" s="10"/>
      <c r="P7" s="11"/>
      <c r="Q7" s="11"/>
      <c r="R7" s="11"/>
      <c r="S7" s="11"/>
      <c r="T7" s="10"/>
      <c r="U7" s="10"/>
      <c r="V7" s="11">
        <v>387.5</v>
      </c>
      <c r="W7" s="12">
        <v>250</v>
      </c>
      <c r="X7" s="19">
        <v>200</v>
      </c>
      <c r="Y7" s="1">
        <v>510</v>
      </c>
      <c r="Z7" s="32"/>
      <c r="AA7" s="5"/>
      <c r="AB7" s="12"/>
      <c r="AD7" s="12"/>
      <c r="AE7" s="12"/>
      <c r="AF7" s="12"/>
      <c r="AG7" s="12"/>
      <c r="AH7" s="12"/>
      <c r="AI7" s="12">
        <f>SUM(E7:U7)</f>
        <v>7012.2596153846152</v>
      </c>
      <c r="AJ7" s="12">
        <f>SUM(V7:AH7)</f>
        <v>1347.5</v>
      </c>
      <c r="AK7" s="12">
        <f>AI7-AJ7</f>
        <v>5664.7596153846152</v>
      </c>
      <c r="AL7" s="53" t="s">
        <v>91</v>
      </c>
    </row>
    <row r="8" spans="1:38" ht="12" customHeight="1" x14ac:dyDescent="0.25">
      <c r="A8" s="26">
        <v>3288</v>
      </c>
      <c r="B8" s="27" t="s">
        <v>87</v>
      </c>
      <c r="C8" s="28" t="s">
        <v>4</v>
      </c>
      <c r="D8" s="28" t="s">
        <v>27</v>
      </c>
      <c r="E8" s="5">
        <v>9063.9599999999991</v>
      </c>
      <c r="F8" s="6">
        <v>-94.416249999999991</v>
      </c>
      <c r="G8" s="6">
        <v>0</v>
      </c>
      <c r="H8" s="6">
        <v>-1394.4553846153844</v>
      </c>
      <c r="I8" s="7">
        <v>0</v>
      </c>
      <c r="J8" s="7">
        <v>0</v>
      </c>
      <c r="K8" s="13"/>
      <c r="L8" s="5"/>
      <c r="M8" s="6"/>
      <c r="N8" s="6"/>
      <c r="O8" s="5"/>
      <c r="P8" s="5"/>
      <c r="Q8" s="5"/>
      <c r="R8" s="14"/>
      <c r="S8" s="5"/>
      <c r="T8" s="5"/>
      <c r="U8" s="5"/>
      <c r="V8" s="5">
        <v>450</v>
      </c>
      <c r="W8" s="5">
        <v>250</v>
      </c>
      <c r="X8" s="5">
        <v>200</v>
      </c>
      <c r="Y8" s="13"/>
      <c r="Z8" s="21"/>
      <c r="AA8" s="5">
        <v>235</v>
      </c>
      <c r="AB8" s="5"/>
      <c r="AC8" s="12">
        <v>1445</v>
      </c>
      <c r="AD8" s="5"/>
      <c r="AE8" s="5"/>
      <c r="AF8" s="5"/>
      <c r="AG8" s="5"/>
      <c r="AH8" s="5"/>
      <c r="AI8" s="12">
        <f t="shared" ref="AI8:AI10" si="1">SUM(E8:U8)</f>
        <v>7575.088365384614</v>
      </c>
      <c r="AJ8" s="12">
        <f t="shared" ref="AJ8:AJ10" si="2">SUM(V8:AH8)</f>
        <v>2580</v>
      </c>
      <c r="AK8" s="12">
        <f t="shared" ref="AK8:AK10" si="3">AI8-AJ8</f>
        <v>4995.088365384614</v>
      </c>
      <c r="AL8" s="53" t="s">
        <v>92</v>
      </c>
    </row>
    <row r="9" spans="1:38" ht="12" customHeight="1" x14ac:dyDescent="0.25">
      <c r="A9" s="26">
        <v>1547</v>
      </c>
      <c r="B9" s="27" t="s">
        <v>88</v>
      </c>
      <c r="C9" s="28" t="s">
        <v>4</v>
      </c>
      <c r="D9" s="28" t="s">
        <v>28</v>
      </c>
      <c r="E9" s="5">
        <v>39000</v>
      </c>
      <c r="F9" s="6">
        <v>-243.75</v>
      </c>
      <c r="G9" s="6">
        <v>-250</v>
      </c>
      <c r="H9" s="6">
        <v>-3000</v>
      </c>
      <c r="I9" s="7">
        <v>0</v>
      </c>
      <c r="J9" s="7">
        <v>0</v>
      </c>
      <c r="K9" s="13"/>
      <c r="L9" s="5"/>
      <c r="M9" s="5">
        <v>1000</v>
      </c>
      <c r="N9" s="5">
        <v>1250</v>
      </c>
      <c r="O9" s="5">
        <v>250</v>
      </c>
      <c r="P9" s="5"/>
      <c r="Q9" s="5"/>
      <c r="R9" s="29">
        <v>5000</v>
      </c>
      <c r="S9" s="5"/>
      <c r="T9" s="5"/>
      <c r="U9" s="5">
        <v>1250</v>
      </c>
      <c r="V9" s="5">
        <v>875</v>
      </c>
      <c r="W9" s="5">
        <v>975</v>
      </c>
      <c r="X9" s="5">
        <v>200</v>
      </c>
      <c r="Y9" s="13"/>
      <c r="Z9" s="33">
        <v>4301.5124999999998</v>
      </c>
      <c r="AA9" s="5"/>
      <c r="AB9" s="5"/>
      <c r="AC9" s="5">
        <v>2430</v>
      </c>
      <c r="AD9" s="5"/>
      <c r="AE9" s="5">
        <v>196</v>
      </c>
      <c r="AF9" s="5">
        <v>1666.67</v>
      </c>
      <c r="AG9" s="5"/>
      <c r="AH9" s="5"/>
      <c r="AI9" s="12">
        <f t="shared" si="1"/>
        <v>44256.25</v>
      </c>
      <c r="AJ9" s="12">
        <f t="shared" si="2"/>
        <v>10644.182500000001</v>
      </c>
      <c r="AK9" s="12">
        <f t="shared" si="3"/>
        <v>33612.067499999997</v>
      </c>
      <c r="AL9" s="53" t="s">
        <v>93</v>
      </c>
    </row>
    <row r="10" spans="1:38" ht="12" customHeight="1" x14ac:dyDescent="0.25">
      <c r="A10" s="26">
        <v>3708</v>
      </c>
      <c r="B10" s="24" t="s">
        <v>89</v>
      </c>
      <c r="C10" s="28" t="s">
        <v>4</v>
      </c>
      <c r="D10" s="28" t="s">
        <v>35</v>
      </c>
      <c r="E10" s="5">
        <v>9063.9599999999991</v>
      </c>
      <c r="F10" s="6">
        <v>0</v>
      </c>
      <c r="G10" s="6">
        <v>0</v>
      </c>
      <c r="H10" s="6">
        <v>-697.22769230769222</v>
      </c>
      <c r="I10" s="7">
        <v>0</v>
      </c>
      <c r="J10" s="7">
        <v>0</v>
      </c>
      <c r="K10" s="13"/>
      <c r="L10" s="5"/>
      <c r="M10" s="5"/>
      <c r="N10" s="5"/>
      <c r="O10" s="5"/>
      <c r="P10" s="5"/>
      <c r="Q10" s="5"/>
      <c r="R10" s="29"/>
      <c r="S10" s="5"/>
      <c r="T10" s="5"/>
      <c r="U10" s="5"/>
      <c r="V10" s="5">
        <v>450</v>
      </c>
      <c r="W10" s="5">
        <v>250</v>
      </c>
      <c r="X10" s="5">
        <v>200</v>
      </c>
      <c r="Y10" s="13"/>
      <c r="Z10" s="33"/>
      <c r="AA10" s="5"/>
      <c r="AB10" s="5"/>
      <c r="AC10" s="5"/>
      <c r="AD10" s="5"/>
      <c r="AE10" s="5"/>
      <c r="AF10" s="5"/>
      <c r="AG10" s="5"/>
      <c r="AH10" s="5"/>
      <c r="AI10" s="12">
        <f t="shared" si="1"/>
        <v>8366.7323076923076</v>
      </c>
      <c r="AJ10" s="12">
        <f t="shared" si="2"/>
        <v>900</v>
      </c>
      <c r="AK10" s="12">
        <f t="shared" si="3"/>
        <v>7466.7323076923076</v>
      </c>
      <c r="AL10" s="53" t="s">
        <v>94</v>
      </c>
    </row>
  </sheetData>
  <autoFilter ref="A6:AK10">
    <sortState ref="A147:BE683">
      <sortCondition sortBy="cellColor" ref="E43:E683" dxfId="0"/>
    </sortState>
  </autoFilter>
  <hyperlinks>
    <hyperlink ref="AL7" r:id="rId1"/>
    <hyperlink ref="AL9" r:id="rId2"/>
    <hyperlink ref="AL8" r:id="rId3"/>
    <hyperlink ref="AL10" r:id="rId4"/>
  </hyperlinks>
  <pageMargins left="0.7" right="0.7" top="0.75" bottom="0.75" header="0.3" footer="0.3"/>
  <pageSetup paperSize="9" orientation="portrait" horizontalDpi="0" verticalDpi="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0"/>
  <sheetViews>
    <sheetView workbookViewId="0">
      <selection activeCell="G17" sqref="G17"/>
    </sheetView>
  </sheetViews>
  <sheetFormatPr defaultRowHeight="16.5" x14ac:dyDescent="0.3"/>
  <cols>
    <col min="1" max="1" width="5.85546875" style="15" customWidth="1"/>
    <col min="2" max="2" width="19.42578125" style="15" customWidth="1"/>
    <col min="3" max="3" width="18" style="15" customWidth="1"/>
    <col min="4" max="4" width="9.140625" style="50" customWidth="1"/>
    <col min="5" max="5" width="20" style="15" customWidth="1"/>
    <col min="6" max="6" width="9.5703125" style="15" bestFit="1" customWidth="1"/>
    <col min="7" max="16384" width="9.140625" style="15"/>
  </cols>
  <sheetData>
    <row r="1" spans="2:18" s="36" customFormat="1" ht="13.5" x14ac:dyDescent="0.25">
      <c r="B1" s="54" t="s">
        <v>1</v>
      </c>
      <c r="C1" s="54"/>
      <c r="D1" s="54"/>
      <c r="E1" s="54"/>
      <c r="F1" s="54"/>
    </row>
    <row r="2" spans="2:18" s="36" customFormat="1" ht="15" customHeight="1" x14ac:dyDescent="0.25">
      <c r="B2" s="54" t="s">
        <v>79</v>
      </c>
      <c r="C2" s="54"/>
      <c r="D2" s="54"/>
      <c r="E2" s="54"/>
      <c r="F2" s="54"/>
    </row>
    <row r="3" spans="2:18" s="36" customFormat="1" ht="13.5" x14ac:dyDescent="0.25">
      <c r="B3" s="55" t="s">
        <v>80</v>
      </c>
      <c r="C3" s="55"/>
      <c r="D3" s="55"/>
      <c r="E3" s="55"/>
      <c r="F3" s="55"/>
    </row>
    <row r="4" spans="2:18" s="36" customFormat="1" ht="13.5" x14ac:dyDescent="0.25">
      <c r="B4" s="37"/>
      <c r="C4" s="37"/>
      <c r="D4" s="37"/>
      <c r="E4" s="37"/>
      <c r="F4" s="37"/>
    </row>
    <row r="5" spans="2:18" s="36" customFormat="1" ht="13.5" x14ac:dyDescent="0.25">
      <c r="B5" s="38" t="s">
        <v>78</v>
      </c>
      <c r="C5" s="26">
        <v>2823</v>
      </c>
      <c r="D5" s="39"/>
      <c r="E5" s="38" t="s">
        <v>49</v>
      </c>
      <c r="F5" s="38" t="str">
        <f>INDEX('Payroll Summary'!C:C,MATCH(Payslip!C5,'Payroll Summary'!A:A,0))</f>
        <v xml:space="preserve">ILO         </v>
      </c>
    </row>
    <row r="6" spans="2:18" s="36" customFormat="1" ht="13.5" x14ac:dyDescent="0.25">
      <c r="B6" s="38" t="s">
        <v>50</v>
      </c>
      <c r="C6" s="38" t="str">
        <f>INDEX('Payroll Summary'!B:B,MATCH(Payslip!C5,'Payroll Summary'!A:A,0))</f>
        <v>BALDO, ERWON</v>
      </c>
      <c r="D6" s="39"/>
      <c r="E6" s="38" t="s">
        <v>51</v>
      </c>
      <c r="F6" s="38" t="str">
        <f>INDEX('Payroll Summary'!D:D,MATCH(Payslip!C5,'Payroll Summary'!A:A,0))</f>
        <v xml:space="preserve">FOU         </v>
      </c>
    </row>
    <row r="7" spans="2:18" s="36" customFormat="1" ht="13.5" x14ac:dyDescent="0.25">
      <c r="D7" s="40"/>
    </row>
    <row r="8" spans="2:18" s="36" customFormat="1" ht="13.5" x14ac:dyDescent="0.25">
      <c r="B8" s="54" t="s">
        <v>52</v>
      </c>
      <c r="C8" s="54"/>
      <c r="D8" s="40"/>
      <c r="E8" s="56" t="s">
        <v>53</v>
      </c>
      <c r="F8" s="56"/>
    </row>
    <row r="9" spans="2:18" s="41" customFormat="1" ht="13.5" x14ac:dyDescent="0.25">
      <c r="B9" s="41" t="s">
        <v>54</v>
      </c>
      <c r="C9" s="47">
        <f>INDEX('Payroll Summary'!E:E,MATCH(Payslip!$C$5,'Payroll Summary'!A:A,0))</f>
        <v>7750</v>
      </c>
      <c r="D9" s="42"/>
      <c r="E9" s="43" t="s">
        <v>55</v>
      </c>
      <c r="F9" s="47">
        <f>INDEX('Payroll Summary'!V:V,MATCH(Payslip!$C$5,'Payroll Summary'!A:A,0))</f>
        <v>387.5</v>
      </c>
    </row>
    <row r="10" spans="2:18" s="41" customFormat="1" ht="13.5" x14ac:dyDescent="0.25">
      <c r="B10" s="44" t="s">
        <v>33</v>
      </c>
      <c r="C10" s="47">
        <f>INDEX('Payroll Summary'!F:F,MATCH(Payslip!$C$5,'Payroll Summary'!A:A,0))</f>
        <v>0</v>
      </c>
      <c r="D10" s="42"/>
      <c r="E10" s="44" t="s">
        <v>56</v>
      </c>
      <c r="F10" s="47">
        <f>INDEX('Payroll Summary'!W:W,MATCH(Payslip!$C$5,'Payroll Summary'!A:A,0))</f>
        <v>250</v>
      </c>
    </row>
    <row r="11" spans="2:18" s="41" customFormat="1" ht="13.5" x14ac:dyDescent="0.25">
      <c r="B11" s="44" t="s">
        <v>32</v>
      </c>
      <c r="C11" s="47">
        <f>INDEX('Payroll Summary'!G:G,MATCH(Payslip!$C$5,'Payroll Summary'!A:A,0))</f>
        <v>-141.58653846153845</v>
      </c>
      <c r="D11" s="42"/>
      <c r="E11" s="43" t="s">
        <v>40</v>
      </c>
      <c r="F11" s="47">
        <f>INDEX('Payroll Summary'!X:X,MATCH(Payslip!$C$5,'Payroll Summary'!A:A,0))</f>
        <v>200</v>
      </c>
    </row>
    <row r="12" spans="2:18" s="41" customFormat="1" ht="13.5" x14ac:dyDescent="0.25">
      <c r="B12" s="44" t="s">
        <v>58</v>
      </c>
      <c r="C12" s="47">
        <f>INDEX('Payroll Summary'!H:H,MATCH(Payslip!$C$5,'Payroll Summary'!A:A,0))</f>
        <v>-596.15384615384619</v>
      </c>
      <c r="D12" s="42"/>
      <c r="E12" s="43" t="s">
        <v>62</v>
      </c>
      <c r="F12" s="47">
        <f>INDEX('Payroll Summary'!Y:Y,MATCH(Payslip!$C$5,'Payroll Summary'!A:A,0))</f>
        <v>510</v>
      </c>
      <c r="R12" s="43"/>
    </row>
    <row r="13" spans="2:18" s="41" customFormat="1" ht="13.5" x14ac:dyDescent="0.25">
      <c r="B13" s="43" t="s">
        <v>70</v>
      </c>
      <c r="C13" s="47">
        <f>INDEX('Payroll Summary'!I:I,MATCH(Payslip!$C$5,'Payroll Summary'!A:A,0))</f>
        <v>0</v>
      </c>
      <c r="D13" s="42"/>
      <c r="E13" s="43" t="s">
        <v>60</v>
      </c>
      <c r="F13" s="47">
        <f>INDEX('Payroll Summary'!Z:Z,MATCH(Payslip!$C$5,'Payroll Summary'!A:A,0))</f>
        <v>0</v>
      </c>
    </row>
    <row r="14" spans="2:18" s="41" customFormat="1" ht="13.5" x14ac:dyDescent="0.25">
      <c r="B14" s="43" t="s">
        <v>66</v>
      </c>
      <c r="C14" s="47">
        <f>INDEX('Payroll Summary'!J:J,MATCH(Payslip!$C$5,'Payroll Summary'!A:A,0))</f>
        <v>0</v>
      </c>
      <c r="D14" s="42"/>
      <c r="E14" s="43" t="s">
        <v>59</v>
      </c>
      <c r="F14" s="47">
        <f>INDEX('Payroll Summary'!AA:AA,MATCH(Payslip!$C$5,'Payroll Summary'!A:A,0))</f>
        <v>0</v>
      </c>
    </row>
    <row r="15" spans="2:18" s="41" customFormat="1" ht="13.5" x14ac:dyDescent="0.25">
      <c r="B15" s="43" t="s">
        <v>83</v>
      </c>
      <c r="C15" s="47">
        <f>INDEX('Payroll Summary'!K:K,MATCH(Payslip!$C$5,'Payroll Summary'!A:A,0))</f>
        <v>0</v>
      </c>
      <c r="D15" s="42"/>
      <c r="E15" s="43" t="s">
        <v>69</v>
      </c>
      <c r="F15" s="47">
        <f>INDEX('Payroll Summary'!AB:AB,MATCH(Payslip!$C$5,'Payroll Summary'!A:A,0))</f>
        <v>0</v>
      </c>
    </row>
    <row r="16" spans="2:18" s="41" customFormat="1" ht="13.5" x14ac:dyDescent="0.25">
      <c r="B16" s="43" t="s">
        <v>68</v>
      </c>
      <c r="C16" s="47">
        <f>INDEX('Payroll Summary'!L:L,MATCH(Payslip!$C$5,'Payroll Summary'!A:A,0))</f>
        <v>0</v>
      </c>
      <c r="D16" s="42"/>
      <c r="E16" s="43" t="s">
        <v>57</v>
      </c>
      <c r="F16" s="47">
        <f>INDEX('Payroll Summary'!AC:AC,MATCH(Payslip!$C$5,'Payroll Summary'!A:A,0))</f>
        <v>0</v>
      </c>
    </row>
    <row r="17" spans="1:18" s="41" customFormat="1" ht="13.5" x14ac:dyDescent="0.25">
      <c r="B17" s="43" t="s">
        <v>84</v>
      </c>
      <c r="C17" s="47">
        <v>0</v>
      </c>
      <c r="D17" s="42"/>
      <c r="E17" s="43" t="s">
        <v>44</v>
      </c>
      <c r="F17" s="47">
        <f>INDEX('Payroll Summary'!AD:AD,MATCH(Payslip!$C$5,'Payroll Summary'!A:A,0))</f>
        <v>0</v>
      </c>
    </row>
    <row r="18" spans="1:18" s="41" customFormat="1" ht="13.5" x14ac:dyDescent="0.25">
      <c r="B18" s="43" t="s">
        <v>34</v>
      </c>
      <c r="C18" s="47">
        <f>INDEX('Payroll Summary'!M:M,MATCH(Payslip!$C$5,'Payroll Summary'!A:A,0))</f>
        <v>0</v>
      </c>
      <c r="D18" s="42"/>
      <c r="E18" s="43" t="s">
        <v>65</v>
      </c>
      <c r="F18" s="47">
        <f>INDEX('Payroll Summary'!AE:AE,MATCH(Payslip!$C$5,'Payroll Summary'!A:A,0))</f>
        <v>0</v>
      </c>
    </row>
    <row r="19" spans="1:18" s="41" customFormat="1" ht="13.5" x14ac:dyDescent="0.25">
      <c r="B19" s="43" t="s">
        <v>61</v>
      </c>
      <c r="C19" s="47">
        <f>INDEX('Payroll Summary'!N:N,MATCH(Payslip!$C$5,'Payroll Summary'!A:A,0))</f>
        <v>0</v>
      </c>
      <c r="D19" s="42"/>
      <c r="E19" s="43" t="s">
        <v>72</v>
      </c>
      <c r="F19" s="47">
        <f>INDEX('Payroll Summary'!AF:AF,MATCH(Payslip!$C$5,'Payroll Summary'!A:A,0))</f>
        <v>0</v>
      </c>
      <c r="R19" s="43"/>
    </row>
    <row r="20" spans="1:18" s="41" customFormat="1" ht="13.5" x14ac:dyDescent="0.25">
      <c r="B20" s="43" t="s">
        <v>63</v>
      </c>
      <c r="C20" s="47">
        <f>INDEX('Payroll Summary'!O:O,MATCH(Payslip!$C$5,'Payroll Summary'!A:A,0))</f>
        <v>0</v>
      </c>
      <c r="D20" s="42"/>
      <c r="E20" s="43" t="s">
        <v>64</v>
      </c>
      <c r="F20" s="47">
        <f>INDEX('Payroll Summary'!AG:AG,MATCH(Payslip!$C$5,'Payroll Summary'!A:A,0))</f>
        <v>0</v>
      </c>
    </row>
    <row r="21" spans="1:18" s="41" customFormat="1" ht="13.5" x14ac:dyDescent="0.25">
      <c r="B21" s="43" t="s">
        <v>74</v>
      </c>
      <c r="C21" s="47">
        <f>INDEX('Payroll Summary'!P:P,MATCH(Payslip!$C$5,'Payroll Summary'!A:A,0))</f>
        <v>0</v>
      </c>
      <c r="D21" s="42"/>
      <c r="E21" s="41" t="s">
        <v>85</v>
      </c>
      <c r="F21" s="47">
        <f>INDEX('Payroll Summary'!AH:AH,MATCH(Payslip!$C$5,'Payroll Summary'!A:A,0))</f>
        <v>0</v>
      </c>
    </row>
    <row r="22" spans="1:18" s="41" customFormat="1" ht="13.5" x14ac:dyDescent="0.25">
      <c r="B22" s="43" t="s">
        <v>73</v>
      </c>
      <c r="C22" s="47">
        <f>INDEX('Payroll Summary'!Q:Q,MATCH(Payslip!$C$5,'Payroll Summary'!A:A,0))</f>
        <v>0</v>
      </c>
      <c r="D22" s="42"/>
      <c r="E22" s="43" t="s">
        <v>67</v>
      </c>
      <c r="F22" s="47">
        <v>0</v>
      </c>
    </row>
    <row r="23" spans="1:18" s="41" customFormat="1" ht="13.5" x14ac:dyDescent="0.25">
      <c r="B23" s="43" t="s">
        <v>31</v>
      </c>
      <c r="C23" s="47">
        <f>INDEX('Payroll Summary'!R:R,MATCH(Payslip!$C$5,'Payroll Summary'!A:A,0))</f>
        <v>0</v>
      </c>
      <c r="D23" s="42"/>
      <c r="F23" s="1"/>
    </row>
    <row r="24" spans="1:18" s="41" customFormat="1" ht="13.5" x14ac:dyDescent="0.25">
      <c r="B24" s="43" t="s">
        <v>36</v>
      </c>
      <c r="C24" s="47">
        <f>INDEX('Payroll Summary'!S:S,MATCH(Payslip!$C$5,'Payroll Summary'!A:A,0))</f>
        <v>0</v>
      </c>
      <c r="D24" s="42"/>
      <c r="F24" s="1"/>
    </row>
    <row r="25" spans="1:18" s="41" customFormat="1" ht="13.5" x14ac:dyDescent="0.25">
      <c r="B25" s="43" t="s">
        <v>71</v>
      </c>
      <c r="C25" s="47">
        <f>INDEX('Payroll Summary'!T:T,MATCH(Payslip!$C$5,'Payroll Summary'!A:A,0))</f>
        <v>0</v>
      </c>
      <c r="D25" s="42"/>
      <c r="F25" s="1"/>
    </row>
    <row r="26" spans="1:18" s="41" customFormat="1" ht="13.5" x14ac:dyDescent="0.25">
      <c r="B26" s="43" t="s">
        <v>37</v>
      </c>
      <c r="C26" s="47">
        <f>INDEX('Payroll Summary'!U:U,MATCH(Payslip!$C$5,'Payroll Summary'!A:A,0))</f>
        <v>0</v>
      </c>
      <c r="D26" s="42"/>
      <c r="F26" s="1"/>
    </row>
    <row r="27" spans="1:18" s="36" customFormat="1" ht="13.5" x14ac:dyDescent="0.25">
      <c r="B27" s="45" t="s">
        <v>75</v>
      </c>
      <c r="C27" s="46">
        <f>INDEX('Payroll Summary'!AI:AI,MATCH(Payslip!$C$5,'Payroll Summary'!A:A,0))</f>
        <v>7012.2596153846152</v>
      </c>
      <c r="D27" s="52"/>
      <c r="E27" s="45" t="s">
        <v>76</v>
      </c>
      <c r="F27" s="46">
        <f>INDEX('Payroll Summary'!AJ:AJ,MATCH(Payslip!$C$5,'Payroll Summary'!A:A,0))</f>
        <v>1347.5</v>
      </c>
      <c r="G27" s="52"/>
    </row>
    <row r="28" spans="1:18" s="36" customFormat="1" ht="13.5" x14ac:dyDescent="0.25">
      <c r="C28" s="47"/>
      <c r="D28" s="40"/>
      <c r="F28" s="47"/>
    </row>
    <row r="29" spans="1:18" s="36" customFormat="1" ht="13.5" x14ac:dyDescent="0.25">
      <c r="B29" s="45" t="s">
        <v>77</v>
      </c>
      <c r="C29" s="46">
        <f>INDEX('Payroll Summary'!AK:AK,MATCH(Payslip!$C$5,'Payroll Summary'!A:A,0))</f>
        <v>5664.7596153846152</v>
      </c>
      <c r="D29" s="52"/>
      <c r="F29" s="47"/>
    </row>
    <row r="30" spans="1:18" x14ac:dyDescent="0.3">
      <c r="A30" s="48"/>
      <c r="B30" s="48"/>
      <c r="C30" s="51"/>
      <c r="D30" s="49"/>
      <c r="E30" s="48"/>
      <c r="F30" s="51"/>
      <c r="G30" s="48"/>
    </row>
  </sheetData>
  <mergeCells count="5">
    <mergeCell ref="B1:F1"/>
    <mergeCell ref="B3:F3"/>
    <mergeCell ref="B8:C8"/>
    <mergeCell ref="E8:F8"/>
    <mergeCell ref="B2:F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Payroll Summary</vt:lpstr>
      <vt:lpstr>Payslip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Rolando D. Olesco</dc:creator>
  <cp:lastModifiedBy>Evelyn M. De Chavez</cp:lastModifiedBy>
  <cp:lastPrinted>2025-10-16T07:31:42Z</cp:lastPrinted>
  <dcterms:created xsi:type="dcterms:W3CDTF">2023-08-23T02:10:30Z</dcterms:created>
  <dcterms:modified xsi:type="dcterms:W3CDTF">2025-10-16T08:45:57Z</dcterms:modified>
</cp:coreProperties>
</file>